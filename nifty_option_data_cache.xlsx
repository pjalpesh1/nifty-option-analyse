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8e3b0569224c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72f16a9f27b0423e"/>
    <x:sheet xmlns:r="http://schemas.openxmlformats.org/officeDocument/2006/relationships" name="OptionData" sheetId="2" r:id="R8a2a3d60b8ee45ca"/>
    <x:sheet xmlns:r="http://schemas.openxmlformats.org/officeDocument/2006/relationships" name="Sample" sheetId="3" r:id="Re9fc125aaec648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"/>
    <x:numFmt numFmtId="202" formatCode="0.00"/>
    <x:numFmt numFmtId="203" formatCode="0.000"/>
    <x:numFmt numFmtId="204" formatCode="0.0000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D4ED8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F1FF"/>
      </x:patternFill>
    </x:fill>
    <x:fill>
      <x:patternFill patternType="solid">
        <x:fgColor rgb="FF111827"/>
      </x:patternFill>
    </x:fill>
    <x:fill>
      <x:patternFill patternType="solid">
        <x:fgColor rgb="FFFFFFFF"/>
      </x:patternFill>
    </x:fill>
    <x:fill>
      <x:patternFill patternType="solid">
        <x:fgColor rgb="FF065F46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200" fontId="3" fillId="6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203" fontId="0" fillId="0" borderId="1" xfId="0" applyNumberFormat="1" applyFont="1" applyFill="1" applyBorder="1"/>
    <x:xf numFmtId="204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4185e870a14679" /><Relationship Type="http://schemas.openxmlformats.org/officeDocument/2006/relationships/theme" Target="/xl/theme/theme1.xml" Id="R852d2e0ab4774092" /><Relationship Type="http://schemas.openxmlformats.org/officeDocument/2006/relationships/sharedStrings" Target="/xl/sharedStrings.xml" Id="R5e62fbc2371d4f6d" /><Relationship Type="http://schemas.openxmlformats.org/officeDocument/2006/relationships/worksheet" Target="/xl/worksheets/sheet1.xml" Id="R72f16a9f27b0423e" /><Relationship Type="http://schemas.openxmlformats.org/officeDocument/2006/relationships/worksheet" Target="/xl/worksheets/sheet2.xml" Id="R8a2a3d60b8ee45ca" /><Relationship Type="http://schemas.openxmlformats.org/officeDocument/2006/relationships/worksheet" Target="/xl/worksheets/sheet3.xml" Id="Re9fc125aaec648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3" t="str">
        <x:v>NIFTY Option Data Cache</x:v>
      </x:c>
    </x:row>
    <x:row r="3">
      <x:c r="A3" s="7" t="str">
        <x:v>Website</x:v>
      </x:c>
      <x:c r="B3" s="8" t="str">
        <x:v>https://pjalpesh1.github.io/nifty-option-analyse/</x:v>
      </x:c>
      <x:c r="C3" s="8"/>
      <x:c r="D3" s="8"/>
      <x:c r="E3" s="8"/>
      <x:c r="F3" s="8"/>
      <x:c r="G3" s="8"/>
      <x:c r="H3" s="8"/>
    </x:row>
    <x:row r="4">
      <x:c r="A4" s="7" t="str">
        <x:v>Hosted DAT URL</x:v>
      </x:c>
      <x:c r="B4" s="8" t="str">
        <x:v>https://pjalpesh1.github.io/nifty-option-analyse/data/nifty-options.dat</x:v>
      </x:c>
      <x:c r="C4" s="8"/>
      <x:c r="D4" s="8"/>
      <x:c r="E4" s="8"/>
      <x:c r="F4" s="8"/>
      <x:c r="G4" s="8"/>
      <x:c r="H4" s="8"/>
    </x:row>
    <x:row r="5">
      <x:c r="A5" s="7" t="str">
        <x:v>Update Interval</x:v>
      </x:c>
      <x:c r="B5" s="8" t="str">
        <x:v>60 seconds</x:v>
      </x:c>
      <x:c r="C5" s="8"/>
      <x:c r="D5" s="8"/>
      <x:c r="E5" s="8"/>
      <x:c r="F5" s="8"/>
      <x:c r="G5" s="8"/>
      <x:c r="H5" s="8"/>
    </x:row>
    <x:row r="6">
      <x:c r="A6" s="7" t="str">
        <x:v>Data Sheet</x:v>
      </x:c>
      <x:c r="B6" s="8" t="str">
        <x:v>OptionData</x:v>
      </x:c>
      <x:c r="C6" s="8"/>
      <x:c r="D6" s="8"/>
      <x:c r="E6" s="8"/>
      <x:c r="F6" s="8"/>
      <x:c r="G6" s="8"/>
      <x:c r="H6" s="8"/>
    </x:row>
    <x:row r="7">
      <x:c r="A7" s="7" t="str">
        <x:v>Required Columns</x:v>
      </x:c>
      <x:c r="B7" s="8" t="str">
        <x:v>expiryDate | strikePrice | optionType | openInterest | changeinOpenInterest | lastPrice | change | impliedVolatility | delta | gamma | theta | totalTradedVolume</x:v>
      </x:c>
      <x:c r="C7" s="8"/>
      <x:c r="D7" s="8"/>
      <x:c r="E7" s="8"/>
      <x:c r="F7" s="8"/>
      <x:c r="G7" s="8"/>
      <x:c r="H7" s="8"/>
    </x:row>
    <x:row r="8">
      <x:c r="A8" s="7" t="str">
        <x:v>Step 1</x:v>
      </x:c>
      <x:c r="B8" s="8" t="str">
        <x:v>Paste or link your live option-chain rows in OptionData.</x:v>
      </x:c>
      <x:c r="C8" s="8"/>
      <x:c r="D8" s="8"/>
      <x:c r="E8" s="8"/>
      <x:c r="F8" s="8"/>
      <x:c r="G8" s="8"/>
      <x:c r="H8" s="8"/>
    </x:row>
    <x:row r="9">
      <x:c r="A9" s="7" t="str">
        <x:v>Step 2</x:v>
      </x:c>
      <x:c r="B9" s="8" t="str">
        <x:v>Run outputs/run_excel_dat_upload_1min.ps1 on this Windows PC.</x:v>
      </x:c>
      <x:c r="C9" s="8"/>
      <x:c r="D9" s="8"/>
      <x:c r="E9" s="8"/>
      <x:c r="F9" s="8"/>
      <x:c r="G9" s="8"/>
      <x:c r="H9" s="8"/>
    </x:row>
    <x:row r="10">
      <x:c r="A10" s="7" t="str">
        <x:v>Step 3</x:v>
      </x:c>
      <x:c r="B10" s="8" t="str">
        <x:v>Open the website Data tab, keep data/nifty-options.dat, and use Auto Start.</x:v>
      </x:c>
      <x:c r="C10" s="8"/>
      <x:c r="D10" s="8"/>
      <x:c r="E10" s="8"/>
      <x:c r="F10" s="8"/>
      <x:c r="G10" s="8"/>
      <x:c r="H10" s="8"/>
    </x:row>
    <x:row r="11">
      <x:c r="A11" s="9"/>
      <x:c r="B11" s="9"/>
      <x:c r="C11" s="9"/>
      <x:c r="D11" s="9"/>
      <x:c r="E11" s="9"/>
      <x:c r="F11" s="9"/>
      <x:c r="G11" s="9"/>
      <x:c r="H11" s="9"/>
    </x:row>
    <x:row r="12">
      <x:c r="A12" s="8" t="str">
        <x:v>Important</x:v>
      </x:c>
      <x:c r="B12" s="9"/>
      <x:c r="C12" s="9"/>
      <x:c r="D12" s="9"/>
      <x:c r="E12" s="9"/>
      <x:c r="F12" s="9"/>
      <x:c r="G12" s="9"/>
      <x:c r="H12" s="9"/>
    </x:row>
    <x:row r="13">
      <x:c r="A13" s="8" t="str">
        <x:v>Keep row 1 headers unchanged. Each valid data row needs expiryDate, strikePrice, and optionType. The uploader skips blank rows and uploads only when the exported DAT content changes.</x:v>
      </x:c>
      <x:c r="B13" s="9"/>
      <x:c r="C13" s="9"/>
      <x:c r="D13" s="9"/>
      <x:c r="E13" s="9"/>
      <x:c r="F13" s="9"/>
      <x:c r="G13" s="9"/>
      <x:c r="H13" s="9"/>
    </x:row>
    <x:row r="14">
      <x:c r="A14" s="8" t="str">
        <x:v>For automatic web upload, set a GitHub token in environment variable GITHUB_TOKEN, or install GitHub CLI and login with gh auth login.</x:v>
      </x:c>
      <x:c r="B14" s="9"/>
      <x:c r="C14" s="9"/>
      <x:c r="D14" s="9"/>
      <x:c r="E14" s="9"/>
      <x:c r="F14" s="9"/>
      <x:c r="G14" s="9"/>
      <x:c r="H14" s="9"/>
    </x:row>
    <x:row r="15">
      <x:c r="A15" s="8" t="str">
        <x:v>A local Excel upload is possible only from the PC running the script. A browser cannot silently reread a changed local file every minute.</x:v>
      </x:c>
      <x:c r="B15" s="9"/>
      <x:c r="C15" s="9"/>
      <x:c r="D15" s="9"/>
      <x:c r="E15" s="9"/>
      <x:c r="F15" s="9"/>
      <x:c r="G15" s="9"/>
      <x:c r="H15" s="9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  <x:mergeCell ref="B10:H10"/>
    <x:mergeCell ref="A12:H12"/>
    <x:mergeCell ref="A13:H13"/>
    <x:mergeCell ref="A14:H14"/>
    <x:mergeCell ref="A15:H15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7" hidden="0" customWidth="1"/>
    <x:col min="3" max="3" width="1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>
      <x:c r="A1" s="13" t="str">
        <x:v>expiryDate</x:v>
      </x:c>
      <x:c r="B1" s="13" t="str">
        <x:v>strikePrice</x:v>
      </x:c>
      <x:c r="C1" s="13" t="str">
        <x:v>optionType</x:v>
      </x:c>
      <x:c r="D1" s="13" t="str">
        <x:v>openInterest</x:v>
      </x:c>
      <x:c r="E1" s="13" t="str">
        <x:v>changeinOpenInterest</x:v>
      </x:c>
      <x:c r="F1" s="13" t="str">
        <x:v>lastPrice</x:v>
      </x:c>
      <x:c r="G1" s="13" t="str">
        <x:v>change</x:v>
      </x:c>
      <x:c r="H1" s="13" t="str">
        <x:v>impliedVolatility</x:v>
      </x:c>
      <x:c r="I1" s="13" t="str">
        <x:v>delta</x:v>
      </x:c>
      <x:c r="J1" s="13" t="str">
        <x:v>gamma</x:v>
      </x:c>
      <x:c r="K1" s="13" t="str">
        <x:v>theta</x:v>
      </x:c>
      <x:c r="L1" s="13" t="str">
        <x:v>totalTradedVolume</x:v>
      </x:c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</x:row>
  </x:sheetData>
  <x:dataValidations count="1">
    <x:dataValidation type="list" sqref="C2:C200">
      <x:formula1>"CE,PE"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>
      <x:c r="A1" s="18" t="str">
        <x:v>expiryDate</x:v>
      </x:c>
      <x:c r="B1" s="18" t="str">
        <x:v>strikePrice</x:v>
      </x:c>
      <x:c r="C1" s="18" t="str">
        <x:v>optionType</x:v>
      </x:c>
      <x:c r="D1" s="18" t="str">
        <x:v>openInterest</x:v>
      </x:c>
      <x:c r="E1" s="18" t="str">
        <x:v>changeinOpenInterest</x:v>
      </x:c>
      <x:c r="F1" s="18" t="str">
        <x:v>lastPrice</x:v>
      </x:c>
      <x:c r="G1" s="18" t="str">
        <x:v>change</x:v>
      </x:c>
      <x:c r="H1" s="18" t="str">
        <x:v>impliedVolatility</x:v>
      </x:c>
      <x:c r="I1" s="18" t="str">
        <x:v>delta</x:v>
      </x:c>
      <x:c r="J1" s="18" t="str">
        <x:v>gamma</x:v>
      </x:c>
      <x:c r="K1" s="18" t="str">
        <x:v>theta</x:v>
      </x:c>
      <x:c r="L1" s="18" t="str">
        <x:v>totalTradedVolume</x:v>
      </x:c>
    </x:row>
    <x:row r="2">
      <x:c r="A2" s="19" t="str">
        <x:v>25-Jun-2026</x:v>
      </x:c>
      <x:c r="B2" s="20" t="n">
        <x:v>24050</x:v>
      </x:c>
      <x:c r="C2" s="19" t="str">
        <x:v>CE</x:v>
      </x:c>
      <x:c r="D2" s="20" t="n">
        <x:v>125430</x:v>
      </x:c>
      <x:c r="E2" s="20" t="n">
        <x:v>8400</x:v>
      </x:c>
      <x:c r="F2" s="21" t="n">
        <x:v>142.5</x:v>
      </x:c>
      <x:c r="G2" s="21" t="n">
        <x:v>18.2</x:v>
      </x:c>
      <x:c r="H2" s="21" t="n">
        <x:v>13.8</x:v>
      </x:c>
      <x:c r="I2" s="22" t="n">
        <x:v>0.54</x:v>
      </x:c>
      <x:c r="J2" s="23" t="n">
        <x:v>0.0019</x:v>
      </x:c>
      <x:c r="K2" s="21" t="n">
        <x:v>-8.2</x:v>
      </x:c>
      <x:c r="L2" s="20" t="n">
        <x:v>25560</x:v>
      </x:c>
    </x:row>
    <x:row r="3">
      <x:c r="A3" s="19" t="str">
        <x:v>25-Jun-2026</x:v>
      </x:c>
      <x:c r="B3" s="20" t="n">
        <x:v>24050</x:v>
      </x:c>
      <x:c r="C3" s="19" t="str">
        <x:v>PE</x:v>
      </x:c>
      <x:c r="D3" s="20" t="n">
        <x:v>113870</x:v>
      </x:c>
      <x:c r="E3" s="20" t="n">
        <x:v>-2200</x:v>
      </x:c>
      <x:c r="F3" s="21" t="n">
        <x:v>91.7</x:v>
      </x:c>
      <x:c r="G3" s="21" t="n">
        <x:v>-11.5</x:v>
      </x:c>
      <x:c r="H3" s="21" t="n">
        <x:v>14.1</x:v>
      </x:c>
      <x:c r="I3" s="22" t="n">
        <x:v>-0.46</x:v>
      </x:c>
      <x:c r="J3" s="23" t="n">
        <x:v>0.0018</x:v>
      </x:c>
      <x:c r="K3" s="21" t="n">
        <x:v>-7.6</x:v>
      </x:c>
      <x:c r="L3" s="20" t="n">
        <x:v>21980</x:v>
      </x:c>
    </x:row>
    <x:row r="4">
      <x:c r="A4" s="19" t="str">
        <x:v>25-Jun-2026</x:v>
      </x:c>
      <x:c r="B4" s="20" t="n">
        <x:v>24100</x:v>
      </x:c>
      <x:c r="C4" s="19" t="str">
        <x:v>CE</x:v>
      </x:c>
      <x:c r="D4" s="20" t="n">
        <x:v>98400</x:v>
      </x:c>
      <x:c r="E4" s="20" t="n">
        <x:v>5700</x:v>
      </x:c>
      <x:c r="F4" s="21" t="n">
        <x:v>79.63</x:v>
      </x:c>
      <x:c r="G4" s="21" t="n">
        <x:v>7.8</x:v>
      </x:c>
      <x:c r="H4" s="21" t="n">
        <x:v>15.32</x:v>
      </x:c>
      <x:c r="I4" s="22" t="n">
        <x:v>0.226</x:v>
      </x:c>
      <x:c r="J4" s="23" t="n">
        <x:v>0.00202</x:v>
      </x:c>
      <x:c r="K4" s="21" t="n">
        <x:v>-13.31</x:v>
      </x:c>
      <x:c r="L4" s="20" t="n">
        <x:v>19480</x:v>
      </x:c>
    </x:row>
    <x:row r="5">
      <x:c r="A5" s="19" t="str">
        <x:v>25-Jun-2026</x:v>
      </x:c>
      <x:c r="B5" s="20" t="n">
        <x:v>24100</x:v>
      </x:c>
      <x:c r="C5" s="19" t="str">
        <x:v>PE</x:v>
      </x:c>
      <x:c r="D5" s="20" t="n">
        <x:v>49000</x:v>
      </x:c>
      <x:c r="E5" s="20" t="n">
        <x:v>-884</x:v>
      </x:c>
      <x:c r="F5" s="21" t="n">
        <x:v>342.38</x:v>
      </x:c>
      <x:c r="G5" s="21" t="n">
        <x:v>-5.2</x:v>
      </x:c>
      <x:c r="H5" s="21" t="n">
        <x:v>14.9</x:v>
      </x:c>
      <x:c r="I5" s="22" t="n">
        <x:v>-0.774</x:v>
      </x:c>
      <x:c r="J5" s="23" t="n">
        <x:v>0.00194</x:v>
      </x:c>
      <x:c r="K5" s="21" t="n">
        <x:v>-12.62</x:v>
      </x:c>
      <x:c r="L5" s="20" t="n">
        <x:v>12560</x:v>
      </x:c>
    </x:row>
  </x:sheetData>
  <x:pageMargins left="0.7" right="0.7" top="0.75" bottom="0.75" header="0.3" footer="0.3"/>
</x:worksheet>
</file>